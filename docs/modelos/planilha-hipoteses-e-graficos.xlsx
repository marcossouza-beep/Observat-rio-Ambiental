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Hipóteses" sheetId="2" state="visible" r:id="rId4"/>
    <sheet name="Cenários" sheetId="3" state="visible" r:id="rId5"/>
    <sheet name="Potencialidad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" authorId="0">
      <text>
        <r>
          <rPr>
            <sz val="10"/>
            <rFont val="Arial"/>
            <family val="2"/>
          </rPr>
          <t xml:space="preserve">Em proporção: 10% = 0,10. Para hipótese de redução, informe o limiar como positivo e escolha "redução" no sentido.</t>
        </r>
      </text>
    </comment>
    <comment ref="K1" authorId="0">
      <text>
        <r>
          <rPr>
            <sz val="10"/>
            <rFont val="Arial"/>
            <family val="2"/>
          </rPr>
          <t xml:space="preserve">Sugestão automática: atingiu o limiar → Sustentada (ou Sustentada em parte, se a confiança é baixa); metade do limiar → Sustentada em parte; abaixo → Não sustentada; sem dado → Inconclusiva. O resultado que vale é o da coluna L, decidido pelo autor.</t>
        </r>
      </text>
    </comment>
  </commentList>
</comments>
</file>

<file path=xl/sharedStrings.xml><?xml version="1.0" encoding="utf-8"?>
<sst xmlns="http://schemas.openxmlformats.org/spreadsheetml/2006/main" count="85" uniqueCount="78">
  <si>
    <t xml:space="preserve">Planilha de testagem de hipóteses e gráficos do quadro comparativo</t>
  </si>
  <si>
    <t xml:space="preserve">Metodologia padrão de análise da ênfase jur. Versão do método 1.0.</t>
  </si>
  <si>
    <t xml:space="preserve">Como usar</t>
  </si>
  <si>
    <t xml:space="preserve">1. Preencha só as células amarelas (texto azul). As demais são fórmulas e se atualizam sozinhas.</t>
  </si>
  <si>
    <t xml:space="preserve">2. Aba Hipóteses: uma linha por hipótese da nota técnica (parte 6). O critério sugere um resultado; o resultado final é sempre do autor (coluna L).</t>
  </si>
  <si>
    <t xml:space="preserve">3. Aba Cenários: valores do indicador da H1 por ano em cada cenário (A, B, C). O gráfico de trajetória e o limiar da H1 se atualizam.</t>
  </si>
  <si>
    <t xml:space="preserve">4. Aba Potencialidades: direção do efeito de B e C em relação a A, de −2 a +2, por dimensão. O gráfico se atualiza.</t>
  </si>
  <si>
    <t xml:space="preserve">5. Copie os gráficos para o quadro comparativo (parte C) e cite, abaixo de cada um, a fonte e o ano dos dados.</t>
  </si>
  <si>
    <t xml:space="preserve">Cores dos cenários (as mesmas em todos os gráficos e documentos)</t>
  </si>
  <si>
    <t xml:space="preserve">Cenário A, referência (a proposta não é aprovada): azul #2A78D6</t>
  </si>
  <si>
    <t xml:space="preserve">Cenário B, aprovada como está: laranja #EB6834</t>
  </si>
  <si>
    <t xml:space="preserve">Cenário C, aprovada com os ajustes recomendados: verde-água #1BAF7A</t>
  </si>
  <si>
    <t xml:space="preserve">Limiar da hipótese: linha cinza #8A8984</t>
  </si>
  <si>
    <t xml:space="preserve">Regras dos gráficos</t>
  </si>
  <si>
    <t xml:space="preserve">Um eixo só (nunca dois eixos verticais). Valor do rótulo no fim da linha ou da barra. Fonte e ano abaixo de cada gráfico. Sem 3D, sem sombra.</t>
  </si>
  <si>
    <t xml:space="preserve">Os valores já preenchidos são um EXEMPLO ILUSTRATIVO COM DADOS FICTÍCIOS (PL do licenciamento simplificado). Substitua pelos dados da análise.</t>
  </si>
  <si>
    <t xml:space="preserve">Célula para preencher</t>
  </si>
  <si>
    <t xml:space="preserve">Nº</t>
  </si>
  <si>
    <t xml:space="preserve">Hipótese (como na nota técnica)</t>
  </si>
  <si>
    <t xml:space="preserve">Indicador</t>
  </si>
  <si>
    <t xml:space="preserve">Unidade</t>
  </si>
  <si>
    <t xml:space="preserve">Fonte da linha de base</t>
  </si>
  <si>
    <t xml:space="preserve">Linha de base</t>
  </si>
  <si>
    <t xml:space="preserve">Sentido esperado</t>
  </si>
  <si>
    <t xml:space="preserve">Limiar (variação que sustenta a hipótese)</t>
  </si>
  <si>
    <t xml:space="preserve">Variação observada ou projetada</t>
  </si>
  <si>
    <t xml:space="preserve">Confiança da evidência</t>
  </si>
  <si>
    <t xml:space="preserve">Resultado pelo critério</t>
  </si>
  <si>
    <t xml:space="preserve">Resultado final (autor)</t>
  </si>
  <si>
    <t xml:space="preserve">Justificativa em 1 linha</t>
  </si>
  <si>
    <t xml:space="preserve">H1</t>
  </si>
  <si>
    <t xml:space="preserve">Se aprovada como está, a proposta tende a aumentar a supressão de vegetação nativa em imóveis de médio porte, porque retira a análise prévia.</t>
  </si>
  <si>
    <t xml:space="preserve">Supressão de vegetação nativa em imóveis de médio porte</t>
  </si>
  <si>
    <t xml:space="preserve">mil ha/ano</t>
  </si>
  <si>
    <t xml:space="preserve">Exemplo fictício, 2025</t>
  </si>
  <si>
    <t xml:space="preserve">aumento</t>
  </si>
  <si>
    <t xml:space="preserve">baixa</t>
  </si>
  <si>
    <t xml:space="preserve">Sustentada em parte</t>
  </si>
  <si>
    <t xml:space="preserve">Um só caso de referência estadual (+18% em 3 anos); falta série própria.</t>
  </si>
  <si>
    <t xml:space="preserve">H2</t>
  </si>
  <si>
    <t xml:space="preserve">Com os ajustes recomendados (zona de amortecimento e limite de 4 módulos), o aumento fica abaixo da metade do previsto em H1.</t>
  </si>
  <si>
    <t xml:space="preserve">Sem caso de referência comparável.</t>
  </si>
  <si>
    <t xml:space="preserve">H3</t>
  </si>
  <si>
    <t xml:space="preserve">H4</t>
  </si>
  <si>
    <t xml:space="preserve">H5</t>
  </si>
  <si>
    <t xml:space="preserve">H6</t>
  </si>
  <si>
    <t xml:space="preserve">Critérios</t>
  </si>
  <si>
    <t xml:space="preserve">Sustentada: o indicador atinge o limiar no sentido esperado, com evidência de confiança alta ou média.</t>
  </si>
  <si>
    <t xml:space="preserve">Sustentada em parte: atinge ao menos metade do limiar, ou atinge o limiar só com evidência de confiança baixa.</t>
  </si>
  <si>
    <t xml:space="preserve">Não sustentada: fica abaixo da metade do limiar ou vai no sentido contrário.</t>
  </si>
  <si>
    <t xml:space="preserve">Inconclusiva: não há dado ou caso comparável suficiente. Diga o que faltou.</t>
  </si>
  <si>
    <t xml:space="preserve">Indicador da H1</t>
  </si>
  <si>
    <t xml:space="preserve">Supressão de vegetação nativa em imóveis de médio porte (mil ha/ano)</t>
  </si>
  <si>
    <t xml:space="preserve">Limiar da H1 (variação)</t>
  </si>
  <si>
    <t xml:space="preserve">Ano</t>
  </si>
  <si>
    <t xml:space="preserve">A. Referência (não aprovada)</t>
  </si>
  <si>
    <t xml:space="preserve">B. Aprovada como está</t>
  </si>
  <si>
    <t xml:space="preserve">C. Aprovada com ajustes</t>
  </si>
  <si>
    <t xml:space="preserve">Limiar da H1</t>
  </si>
  <si>
    <t xml:space="preserve">Variação de B sobre o ano base</t>
  </si>
  <si>
    <t xml:space="preserve">Variação de C sobre o ano base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</si>
  <si>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</si>
  <si>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</si>
  <si>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</si>
  <si>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</si>
  <si>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</si>
  <si>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</si>
  <si>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Fonte e premissas:</t>
  </si>
  <si>
    <t xml:space="preserve">Exemplo fictício. Informe fonte, ano e premissas de cada cenário.</t>
  </si>
  <si>
    <t xml:space="preserve">Dimensão</t>
  </si>
  <si>
    <t xml:space="preserve">Por que (1 linha)</t>
  </si>
  <si>
    <t xml:space="preserve">Ambiental</t>
  </si>
  <si>
    <t xml:space="preserve">Social</t>
  </si>
  <si>
    <t xml:space="preserve">Econômica</t>
  </si>
  <si>
    <t xml:space="preserve">Institucional e fiscal</t>
  </si>
  <si>
    <t xml:space="preserve">Escala (sempre em relação ao cenário A, a referência)</t>
  </si>
  <si>
    <t xml:space="preserve">−2 piora muito · −1 piora · 0 sem mudança · +1 melhora · +2 melhora muito</t>
  </si>
  <si>
    <t xml:space="preserve">Dimensões fixas: ambiental, social, econômica, institucional e fiscal (as mesmas da nota técnica, parte 7).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</si>
</sst>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%"/>
    <numFmt numFmtId="167" formatCode="\+0;\-0;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color rgb="FF52514E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2A78D6"/>
      <name val="Arial"/>
      <family val="0"/>
      <charset val="1"/>
    </font>
    <font>
      <b val="true"/>
      <sz val="10"/>
      <color rgb="FFEB6834"/>
      <name val="Arial"/>
      <family val="0"/>
      <charset val="1"/>
    </font>
    <font>
      <b val="true"/>
      <sz val="10"/>
      <color rgb="FF1BAF7A"/>
      <name val="Arial"/>
      <family val="0"/>
      <charset val="1"/>
    </font>
    <font>
      <b val="true"/>
      <sz val="10"/>
      <color rgb="FF8A8984"/>
      <name val="Arial"/>
      <family val="0"/>
      <charset val="1"/>
    </font>
    <font>
      <b val="true"/>
      <sz val="10"/>
      <color rgb="FFB23B3B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23864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2A8"/>
        <bgColor rgb="FFE6E5E0"/>
      </patternFill>
    </fill>
    <fill>
      <patternFill patternType="solid">
        <fgColor rgb="FFEEF6F1"/>
        <bgColor rgb="FFE6E5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DD8"/>
      </left>
      <right style="thin">
        <color rgb="FFD5DDD8"/>
      </right>
      <top style="thin">
        <color rgb="FFD5DDD8"/>
      </top>
      <bottom style="thin">
        <color rgb="FFD5DD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3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3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F6F1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5DDD8"/>
      <rgbColor rgb="FF878787"/>
      <rgbColor rgb="FF9999FF"/>
      <rgbColor rgb="FFB23B3B"/>
      <rgbColor rgb="FFE6E5E0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8"/>
      <rgbColor rgb="FF99CCFF"/>
      <rgbColor rgb="FFFF99CC"/>
      <rgbColor rgb="FFCC99FF"/>
      <rgbColor rgb="FFFFCC99"/>
      <rgbColor rgb="FF2A78D6"/>
      <rgbColor rgb="FF1BAF7A"/>
      <rgbColor rgb="FF99CC00"/>
      <rgbColor rgb="FFFFCC00"/>
      <rgbColor rgb="FFFF9900"/>
      <rgbColor rgb="FFEB6834"/>
      <rgbColor rgb="FF666699"/>
      <rgbColor rgb="FF8A8984"/>
      <rgbColor rgb="FF003366"/>
      <rgbColor rgb="FF23864F"/>
      <rgbColor rgb="FF003300"/>
      <rgbColor rgb="FF333300"/>
      <rgbColor rgb="FF993300"/>
      <rgbColor rgb="FF993366"/>
      <rgbColor rgb="FF333399"/>
      <rgbColor rgb="FF5251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Cenários!B4</c:f>
              <c:strCache>
                <c:ptCount val="1"/>
                <c:pt idx="0">
                  <c:v>A. Referência (não aprovada)</c:v>
                </c:pt>
              </c:strCache>
            </c:strRef>
          </c:tx>
          <c:spPr>
            <a:solidFill>
              <a:srgbClr val="2a78d6"/>
            </a:solidFill>
            <a:ln w="19080">
              <a:solidFill>
                <a:srgbClr val="2a78d6"/>
              </a:solidFill>
              <a:round/>
            </a:ln>
          </c:spPr>
          <c:marker>
            <c:symbol val="circle"/>
            <c:size val="6"/>
            <c:spPr>
              <a:solidFill>
                <a:srgbClr val="2a78d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Cenários!$A$5:$A$10</c:f>
              <c:strCach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strCache>
            </c:strRef>
          </c:cat>
          <c:val>
            <c:numRef>
              <c:f>Cenários!$B$5:$B$10</c:f>
              <c:numCache>
                <c:formatCode>#,##0</c:formatCode>
                <c:ptCount val="6"/>
                <c:pt idx="0">
                  <c:v>120</c:v>
                </c:pt>
                <c:pt idx="1">
                  <c:v>118</c:v>
                </c:pt>
                <c:pt idx="2">
                  <c:v>116</c:v>
                </c:pt>
                <c:pt idx="3">
                  <c:v>115</c:v>
                </c:pt>
                <c:pt idx="4">
                  <c:v>113</c:v>
                </c:pt>
                <c:pt idx="5">
                  <c:v>112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Cenários!C4</c:f>
              <c:strCache>
                <c:ptCount val="1"/>
                <c:pt idx="0">
                  <c:v>B. Aprovada como está</c:v>
                </c:pt>
              </c:strCache>
            </c:strRef>
          </c:tx>
          <c:spPr>
            <a:solidFill>
              <a:srgbClr val="eb6834"/>
            </a:solidFill>
            <a:ln w="19080">
              <a:solidFill>
                <a:srgbClr val="eb6834"/>
              </a:solidFill>
              <a:round/>
            </a:ln>
          </c:spPr>
          <c:marker>
            <c:symbol val="circle"/>
            <c:size val="6"/>
            <c:spPr>
              <a:solidFill>
                <a:srgbClr val="eb683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Cenários!$A$5:$A$10</c:f>
              <c:strCach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strCache>
            </c:strRef>
          </c:cat>
          <c:val>
            <c:numRef>
              <c:f>Cenários!$C$5:$C$10</c:f>
              <c:numCache>
                <c:formatCode>#,##0</c:formatCode>
                <c:ptCount val="6"/>
                <c:pt idx="0">
                  <c:v>120</c:v>
                </c:pt>
                <c:pt idx="1">
                  <c:v>128</c:v>
                </c:pt>
                <c:pt idx="2">
                  <c:v>136</c:v>
                </c:pt>
                <c:pt idx="3">
                  <c:v>142</c:v>
                </c:pt>
                <c:pt idx="4">
                  <c:v>147</c:v>
                </c:pt>
                <c:pt idx="5">
                  <c:v>151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Cenários!D4</c:f>
              <c:strCache>
                <c:ptCount val="1"/>
                <c:pt idx="0">
                  <c:v>C. Aprovada com ajustes</c:v>
                </c:pt>
              </c:strCache>
            </c:strRef>
          </c:tx>
          <c:spPr>
            <a:solidFill>
              <a:srgbClr val="1baf7a"/>
            </a:solidFill>
            <a:ln w="19080">
              <a:solidFill>
                <a:srgbClr val="1baf7a"/>
              </a:solidFill>
              <a:round/>
            </a:ln>
          </c:spPr>
          <c:marker>
            <c:symbol val="circle"/>
            <c:size val="6"/>
            <c:spPr>
              <a:solidFill>
                <a:srgbClr val="1baf7a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Cenários!$A$5:$A$10</c:f>
              <c:strCach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strCache>
            </c:strRef>
          </c:cat>
          <c:val>
            <c:numRef>
              <c:f>Cenários!$D$5:$D$10</c:f>
              <c:numCache>
                <c:formatCode>#,##0</c:formatCode>
                <c:ptCount val="6"/>
                <c:pt idx="0">
                  <c:v>120</c:v>
                </c:pt>
                <c:pt idx="1">
                  <c:v>122</c:v>
                </c:pt>
                <c:pt idx="2">
                  <c:v>124</c:v>
                </c:pt>
                <c:pt idx="3">
                  <c:v>125</c:v>
                </c:pt>
                <c:pt idx="4">
                  <c:v>126</c:v>
                </c:pt>
                <c:pt idx="5">
                  <c:v>126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Cenários!E4</c:f>
              <c:strCache>
                <c:ptCount val="1"/>
                <c:pt idx="0">
                  <c:v>Limiar da H1</c:v>
                </c:pt>
              </c:strCache>
            </c:strRef>
          </c:tx>
          <c:spPr>
            <a:solidFill>
              <a:srgbClr val="8a8984"/>
            </a:solidFill>
            <a:ln w="12600">
              <a:solidFill>
                <a:srgbClr val="8a898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Cenários!$A$5:$A$10</c:f>
              <c:strCach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strCache>
            </c:strRef>
          </c:cat>
          <c:val>
            <c:numRef>
              <c:f>Cenários!$E$5:$E$10</c:f>
              <c:numCache>
                <c:formatCode>#,##0</c:formatCode>
                <c:ptCount val="6"/>
                <c:pt idx="0">
                  <c:v>132</c:v>
                </c:pt>
                <c:pt idx="1">
                  <c:v>132</c:v>
                </c:pt>
                <c:pt idx="2">
                  <c:v>132</c:v>
                </c:pt>
                <c:pt idx="3">
                  <c:v>132</c:v>
                </c:pt>
                <c:pt idx="4">
                  <c:v>132</c:v>
                </c:pt>
                <c:pt idx="5">
                  <c:v>132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3424725"/>
        <c:axId val="2001771"/>
      </c:lineChart>
      <c:catAx>
        <c:axId val="834247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01771"/>
        <c:crosses val="autoZero"/>
        <c:auto val="1"/>
        <c:lblAlgn val="ctr"/>
        <c:lblOffset val="100"/>
        <c:noMultiLvlLbl val="0"/>
      </c:catAx>
      <c:valAx>
        <c:axId val="2001771"/>
        <c:scaling>
          <c:orientation val="minMax"/>
        </c:scaling>
        <c:delete val="0"/>
        <c:axPos val="l"/>
        <c:majorGridlines>
          <c:spPr>
            <a:ln w="6480">
              <a:solidFill>
                <a:srgbClr val="e6e5e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mil ha/ano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42472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Potencialidades!B1</c:f>
              <c:strCache>
                <c:ptCount val="1"/>
                <c:pt idx="0">
                  <c:v>B. Aprovada como está</c:v>
                </c:pt>
              </c:strCache>
            </c:strRef>
          </c:tx>
          <c:spPr>
            <a:solidFill>
              <a:srgbClr val="eb683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Potencialidades!$A$2:$A$5</c:f>
              <c:strCache>
                <c:ptCount val="4"/>
                <c:pt idx="0">
                  <c:v>Ambiental</c:v>
                </c:pt>
                <c:pt idx="1">
                  <c:v>Social</c:v>
                </c:pt>
                <c:pt idx="2">
                  <c:v>Econômica</c:v>
                </c:pt>
                <c:pt idx="3">
                  <c:v>Institucional e fiscal</c:v>
                </c:pt>
              </c:strCache>
            </c:strRef>
          </c:cat>
          <c:val>
            <c:numRef>
              <c:f>Potencialidades!$B$2:$B$5</c:f>
              <c:numCache>
                <c:formatCode>\+0;\-0;0</c:formatCode>
                <c:ptCount val="4"/>
                <c:pt idx="0">
                  <c:v>-2</c:v>
                </c:pt>
                <c:pt idx="1">
                  <c:v>-1</c:v>
                </c:pt>
                <c:pt idx="2">
                  <c:v>1</c:v>
                </c:pt>
                <c:pt idx="3">
                  <c:v>-1</c:v>
                </c:pt>
              </c:numCache>
            </c:numRef>
          </c:val>
        </c:ser>
        <c:ser>
          <c:idx val="1"/>
          <c:order val="1"/>
          <c:tx>
            <c:strRef>
              <c:f>Potencialidades!C1</c:f>
              <c:strCache>
                <c:ptCount val="1"/>
                <c:pt idx="0">
                  <c:v>C. Aprovada com ajustes</c:v>
                </c:pt>
              </c:strCache>
            </c:strRef>
          </c:tx>
          <c:spPr>
            <a:solidFill>
              <a:srgbClr val="1baf7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Potencialidades!$A$2:$A$5</c:f>
              <c:strCache>
                <c:ptCount val="4"/>
                <c:pt idx="0">
                  <c:v>Ambiental</c:v>
                </c:pt>
                <c:pt idx="1">
                  <c:v>Social</c:v>
                </c:pt>
                <c:pt idx="2">
                  <c:v>Econômica</c:v>
                </c:pt>
                <c:pt idx="3">
                  <c:v>Institucional e fiscal</c:v>
                </c:pt>
              </c:strCache>
            </c:strRef>
          </c:cat>
          <c:val>
            <c:numRef>
              <c:f>Potencialidades!$C$2:$C$5</c:f>
              <c:numCache>
                <c:formatCode>\+0;\-0;0</c:formatCode>
                <c:ptCount val="4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</c:ser>
        <c:gapWidth val="60"/>
        <c:overlap val="-5"/>
        <c:axId val="48082974"/>
        <c:axId val="12972756"/>
      </c:barChart>
      <c:catAx>
        <c:axId val="4808297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972756"/>
        <c:crosses val="autoZero"/>
        <c:auto val="1"/>
        <c:lblAlgn val="ctr"/>
        <c:lblOffset val="100"/>
        <c:noMultiLvlLbl val="0"/>
      </c:catAx>
      <c:valAx>
        <c:axId val="12972756"/>
        <c:scaling>
          <c:orientation val="minMax"/>
          <c:max val="2"/>
          <c:min val="-2"/>
        </c:scaling>
        <c:delete val="0"/>
        <c:axPos val="l"/>
        <c:majorGridlines>
          <c:spPr>
            <a:ln w="6480">
              <a:solidFill>
                <a:srgbClr val="e6e5e0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← piora · melhora → (em relação ao cenário 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+0;\-0;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082974"/>
        <c:crosses val="autoZero"/>
        <c:crossBetween val="between"/>
        <c:majorUnit val="1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126360</xdr:rowOff>
    </xdr:from>
    <xdr:to>
      <xdr:col>4</xdr:col>
      <xdr:colOff>448200</xdr:colOff>
      <xdr:row>28</xdr:row>
      <xdr:rowOff>127440</xdr:rowOff>
    </xdr:to>
    <xdr:graphicFrame>
      <xdr:nvGraphicFramePr>
        <xdr:cNvPr id="0" name="Chart 1"/>
        <xdr:cNvGraphicFramePr/>
      </xdr:nvGraphicFramePr>
      <xdr:xfrm>
        <a:off x="0" y="266688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0</xdr:rowOff>
    </xdr:from>
    <xdr:to>
      <xdr:col>3</xdr:col>
      <xdr:colOff>2985840</xdr:colOff>
      <xdr:row>27</xdr:row>
      <xdr:rowOff>1080</xdr:rowOff>
    </xdr:to>
    <xdr:graphicFrame>
      <xdr:nvGraphicFramePr>
        <xdr:cNvPr id="1" name="Chart 1"/>
        <xdr:cNvGraphicFramePr/>
      </xdr:nvGraphicFramePr>
      <xdr:xfrm>
        <a:off x="0" y="209556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23.8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5" t="s">
        <v>9</v>
      </c>
    </row>
    <row r="13" customFormat="false" ht="15" hidden="false" customHeight="false" outlineLevel="0" collapsed="false">
      <c r="A13" s="6" t="s">
        <v>10</v>
      </c>
    </row>
    <row r="14" customFormat="false" ht="15" hidden="false" customHeight="false" outlineLevel="0" collapsed="false">
      <c r="A14" s="7" t="s">
        <v>11</v>
      </c>
    </row>
    <row r="15" customFormat="false" ht="15" hidden="false" customHeight="false" outlineLevel="0" collapsed="false">
      <c r="A15" s="8" t="s">
        <v>12</v>
      </c>
    </row>
    <row r="16" customFormat="false" ht="15" hidden="false" customHeight="false" outlineLevel="0" collapsed="false">
      <c r="A16" s="3"/>
    </row>
    <row r="17" customFormat="false" ht="15" hidden="false" customHeight="false" outlineLevel="0" collapsed="false">
      <c r="A17" s="4" t="s">
        <v>13</v>
      </c>
    </row>
    <row r="18" customFormat="false" ht="23.8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/>
    </row>
    <row r="20" customFormat="false" ht="23.85" hidden="false" customHeight="false" outlineLevel="0" collapsed="false">
      <c r="A20" s="9" t="s">
        <v>15</v>
      </c>
    </row>
    <row r="22" customFormat="false" ht="15" hidden="false" customHeight="false" outlineLevel="0" collapsed="false">
      <c r="A22" s="10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9" min="8" style="0" width="16"/>
    <col collapsed="false" customWidth="true" hidden="false" outlineLevel="0" max="10" min="10" style="0" width="14"/>
    <col collapsed="false" customWidth="true" hidden="false" outlineLevel="0" max="12" min="11" style="0" width="20"/>
    <col collapsed="false" customWidth="true" hidden="false" outlineLevel="0" max="13" min="13" style="0" width="40"/>
  </cols>
  <sheetData>
    <row r="1" customFormat="false" ht="42" hidden="false" customHeight="true" outlineLevel="0" collapsed="false">
      <c r="A1" s="11" t="s">
        <v>17</v>
      </c>
      <c r="B1" s="11" t="s">
        <v>18</v>
      </c>
      <c r="C1" s="11" t="s">
        <v>19</v>
      </c>
      <c r="D1" s="11" t="s">
        <v>20</v>
      </c>
      <c r="E1" s="11" t="s">
        <v>21</v>
      </c>
      <c r="F1" s="11" t="s">
        <v>22</v>
      </c>
      <c r="G1" s="11" t="s">
        <v>23</v>
      </c>
      <c r="H1" s="11" t="s">
        <v>24</v>
      </c>
      <c r="I1" s="11" t="s">
        <v>25</v>
      </c>
      <c r="J1" s="11" t="s">
        <v>26</v>
      </c>
      <c r="K1" s="11" t="s">
        <v>27</v>
      </c>
      <c r="L1" s="11" t="s">
        <v>28</v>
      </c>
      <c r="M1" s="11" t="s">
        <v>29</v>
      </c>
    </row>
    <row r="2" customFormat="false" ht="60" hidden="false" customHeight="true" outlineLevel="0" collapsed="false">
      <c r="A2" s="12" t="s">
        <v>30</v>
      </c>
      <c r="B2" s="10" t="s">
        <v>31</v>
      </c>
      <c r="C2" s="10" t="s">
        <v>32</v>
      </c>
      <c r="D2" s="10" t="s">
        <v>33</v>
      </c>
      <c r="E2" s="10" t="s">
        <v>34</v>
      </c>
      <c r="F2" s="13" t="n">
        <v>120</v>
      </c>
      <c r="G2" s="10" t="s">
        <v>35</v>
      </c>
      <c r="H2" s="14" t="n">
        <v>0.1</v>
      </c>
      <c r="I2" s="14" t="n">
        <v>0.18</v>
      </c>
      <c r="J2" s="10" t="s">
        <v>36</v>
      </c>
      <c r="K2" s="15" t="str">
        <f aca="false">IF(OR(H2="",I2=""),"Inconclusiva",IF(IF(G2="redução",-I2,I2)&gt;=ABS(H2),IF(J2="baixa","Sustentada em parte","Sustentada"),IF(IF(G2="redução",-I2,I2)&gt;=ABS(H2)/2,"Sustentada em parte","Não sustentada")))</f>
        <v>Sustentada em parte</v>
      </c>
      <c r="L2" s="10" t="s">
        <v>37</v>
      </c>
      <c r="M2" s="10" t="s">
        <v>38</v>
      </c>
    </row>
    <row r="3" customFormat="false" ht="60" hidden="false" customHeight="true" outlineLevel="0" collapsed="false">
      <c r="A3" s="12" t="s">
        <v>39</v>
      </c>
      <c r="B3" s="10" t="s">
        <v>40</v>
      </c>
      <c r="C3" s="10" t="s">
        <v>32</v>
      </c>
      <c r="D3" s="10" t="s">
        <v>33</v>
      </c>
      <c r="E3" s="10" t="s">
        <v>34</v>
      </c>
      <c r="F3" s="13" t="n">
        <v>120</v>
      </c>
      <c r="G3" s="10" t="s">
        <v>35</v>
      </c>
      <c r="H3" s="14" t="n">
        <v>0.05</v>
      </c>
      <c r="I3" s="14"/>
      <c r="J3" s="10" t="s">
        <v>36</v>
      </c>
      <c r="K3" s="15" t="str">
        <f aca="false">IF(OR(H3="",I3=""),"Inconclusiva",IF(IF(G3="redução",-I3,I3)&gt;=ABS(H3),IF(J3="baixa","Sustentada em parte","Sustentada"),IF(IF(G3="redução",-I3,I3)&gt;=ABS(H3)/2,"Sustentada em parte","Não sustentada")))</f>
        <v>Inconclusiva</v>
      </c>
      <c r="L3" s="10"/>
      <c r="M3" s="10" t="s">
        <v>41</v>
      </c>
    </row>
    <row r="4" customFormat="false" ht="60" hidden="false" customHeight="true" outlineLevel="0" collapsed="false">
      <c r="A4" s="12" t="s">
        <v>42</v>
      </c>
      <c r="B4" s="10"/>
      <c r="C4" s="10"/>
      <c r="D4" s="10"/>
      <c r="E4" s="10"/>
      <c r="F4" s="13"/>
      <c r="G4" s="10"/>
      <c r="H4" s="14"/>
      <c r="I4" s="14"/>
      <c r="J4" s="10"/>
      <c r="K4" s="15" t="str">
        <f aca="false">IF(OR(H4="",I4=""),"Inconclusiva",IF(IF(G4="redução",-I4,I4)&gt;=ABS(H4),IF(J4="baixa","Sustentada em parte","Sustentada"),IF(IF(G4="redução",-I4,I4)&gt;=ABS(H4)/2,"Sustentada em parte","Não sustentada")))</f>
        <v>Inconclusiva</v>
      </c>
      <c r="L4" s="10"/>
      <c r="M4" s="10"/>
    </row>
    <row r="5" customFormat="false" ht="60" hidden="false" customHeight="true" outlineLevel="0" collapsed="false">
      <c r="A5" s="12" t="s">
        <v>43</v>
      </c>
      <c r="B5" s="10"/>
      <c r="C5" s="10"/>
      <c r="D5" s="10"/>
      <c r="E5" s="10"/>
      <c r="F5" s="13"/>
      <c r="G5" s="10"/>
      <c r="H5" s="14"/>
      <c r="I5" s="14"/>
      <c r="J5" s="10"/>
      <c r="K5" s="15" t="str">
        <f aca="false">IF(OR(H5="",I5=""),"Inconclusiva",IF(IF(G5="redução",-I5,I5)&gt;=ABS(H5),IF(J5="baixa","Sustentada em parte","Sustentada"),IF(IF(G5="redução",-I5,I5)&gt;=ABS(H5)/2,"Sustentada em parte","Não sustentada")))</f>
        <v>Inconclusiva</v>
      </c>
      <c r="L5" s="10"/>
      <c r="M5" s="10"/>
    </row>
    <row r="6" customFormat="false" ht="60" hidden="false" customHeight="true" outlineLevel="0" collapsed="false">
      <c r="A6" s="12" t="s">
        <v>44</v>
      </c>
      <c r="B6" s="10"/>
      <c r="C6" s="10"/>
      <c r="D6" s="10"/>
      <c r="E6" s="10"/>
      <c r="F6" s="13"/>
      <c r="G6" s="10"/>
      <c r="H6" s="14"/>
      <c r="I6" s="14"/>
      <c r="J6" s="10"/>
      <c r="K6" s="15" t="str">
        <f aca="false">IF(OR(H6="",I6=""),"Inconclusiva",IF(IF(G6="redução",-I6,I6)&gt;=ABS(H6),IF(J6="baixa","Sustentada em parte","Sustentada"),IF(IF(G6="redução",-I6,I6)&gt;=ABS(H6)/2,"Sustentada em parte","Não sustentada")))</f>
        <v>Inconclusiva</v>
      </c>
      <c r="L6" s="10"/>
      <c r="M6" s="10"/>
    </row>
    <row r="7" customFormat="false" ht="60" hidden="false" customHeight="true" outlineLevel="0" collapsed="false">
      <c r="A7" s="12" t="s">
        <v>45</v>
      </c>
      <c r="B7" s="10"/>
      <c r="C7" s="10"/>
      <c r="D7" s="10"/>
      <c r="E7" s="10"/>
      <c r="F7" s="13"/>
      <c r="G7" s="10"/>
      <c r="H7" s="14"/>
      <c r="I7" s="14"/>
      <c r="J7" s="10"/>
      <c r="K7" s="15" t="str">
        <f aca="false">IF(OR(H7="",I7=""),"Inconclusiva",IF(IF(G7="redução",-I7,I7)&gt;=ABS(H7),IF(J7="baixa","Sustentada em parte","Sustentada"),IF(IF(G7="redução",-I7,I7)&gt;=ABS(H7)/2,"Sustentada em parte","Não sustentada")))</f>
        <v>Inconclusiva</v>
      </c>
      <c r="L7" s="10"/>
      <c r="M7" s="10"/>
    </row>
    <row r="9" customFormat="false" ht="15" hidden="false" customHeight="false" outlineLevel="0" collapsed="false">
      <c r="B9" s="12" t="s">
        <v>46</v>
      </c>
    </row>
    <row r="10" customFormat="false" ht="15" hidden="false" customHeight="false" outlineLevel="0" collapsed="false">
      <c r="B10" s="16" t="s">
        <v>47</v>
      </c>
    </row>
    <row r="11" customFormat="false" ht="15" hidden="false" customHeight="false" outlineLevel="0" collapsed="false">
      <c r="B11" s="16" t="s">
        <v>48</v>
      </c>
    </row>
    <row r="12" customFormat="false" ht="15" hidden="false" customHeight="false" outlineLevel="0" collapsed="false">
      <c r="B12" s="16" t="s">
        <v>49</v>
      </c>
    </row>
    <row r="13" customFormat="false" ht="15" hidden="false" customHeight="false" outlineLevel="0" collapsed="false">
      <c r="B13" s="16" t="s">
        <v>50</v>
      </c>
    </row>
  </sheetData>
  <dataValidations count="3">
    <dataValidation allowBlank="true" errorStyle="stop" operator="between" showDropDown="false" showErrorMessage="false" showInputMessage="false" sqref="G2:G7" type="list">
      <formula1>"aumento,redução"</formula1>
      <formula2>0</formula2>
    </dataValidation>
    <dataValidation allowBlank="true" errorStyle="stop" operator="between" showDropDown="false" showErrorMessage="false" showInputMessage="false" sqref="J2:J7" type="list">
      <formula1>"alta,média,baixa"</formula1>
      <formula2>0</formula2>
    </dataValidation>
    <dataValidation allowBlank="true" errorStyle="stop" operator="between" showDropDown="false" showErrorMessage="false" showInputMessage="false" sqref="L2:L7" type="list">
      <formula1>"Sustentada,Sustentada em parte,Não sustentada,Inconclusiva"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24"/>
    <col collapsed="false" customWidth="true" hidden="false" outlineLevel="0" max="5" min="5" style="0" width="16"/>
    <col collapsed="false" customWidth="true" hidden="false" outlineLevel="0" max="7" min="6" style="0" width="18"/>
  </cols>
  <sheetData>
    <row r="1" customFormat="false" ht="35.05" hidden="false" customHeight="false" outlineLevel="0" collapsed="false">
      <c r="A1" s="12" t="s">
        <v>51</v>
      </c>
      <c r="B1" s="10" t="s">
        <v>52</v>
      </c>
    </row>
    <row r="2" customFormat="false" ht="15" hidden="false" customHeight="false" outlineLevel="0" collapsed="false">
      <c r="A2" s="12" t="s">
        <v>53</v>
      </c>
      <c r="B2" s="17" t="n">
        <f aca="false">Hipóteses!H2</f>
        <v>0.1</v>
      </c>
    </row>
    <row r="4" customFormat="false" ht="30" hidden="false" customHeight="true" outlineLevel="0" collapsed="false">
      <c r="A4" s="11" t="s">
        <v>54</v>
      </c>
      <c r="B4" s="11" t="s">
        <v>55</v>
      </c>
      <c r="C4" s="11" t="s">
        <v>56</v>
      </c>
      <c r="D4" s="11" t="s">
        <v>57</v>
      </c>
      <c r="E4" s="11" t="s">
        <v>58</v>
      </c>
      <c r="F4" s="11" t="s">
        <v>59</v>
      </c>
      <c r="G4" s="11" t="s">
        <v>60</v>
      </c>
    </row>
    <row r="5" customFormat="false" ht="15" hidden="false" customHeight="false" outlineLevel="0" collapsed="false">
      <c r="A5" s="10" t="s">
        <v>61</v>
      </c>
      <c r="B5" s="13" t="n">
        <v>120</v>
      </c>
      <c r="C5" s="13" t="n">
        <v>120</v>
      </c>
      <c r="D5" s="13" t="n">
        <v>120</v>
      </c>
      <c r="E5" s="18" t="n">
        <f aca="false">$B$5*(1+$B$2)</f>
        <v>132</v>
      </c>
      <c r="F5" s="17" t="n">
        <f aca="false">IF($C$5=0,"",C5/$C$5-1)</f>
        <v>0</v>
      </c>
      <c r="G5" s="17" t="n">
        <f aca="false">IF($D$5=0,"",D5/$D$5-1)</f>
        <v>0</v>
      </c>
    </row>
    <row r="6" customFormat="false" ht="15" hidden="false" customHeight="false" outlineLevel="0" collapsed="false">
      <c r="A6" s="10" t="s">
        <v>62</v>
      </c>
      <c r="B6" s="13" t="n">
        <v>118</v>
      </c>
      <c r="C6" s="13" t="n">
        <v>128</v>
      </c>
      <c r="D6" s="13" t="n">
        <v>122</v>
      </c>
      <c r="E6" s="18" t="n">
        <f aca="false">$B$5*(1+$B$2)</f>
        <v>132</v>
      </c>
      <c r="F6" s="17" t="n">
        <f aca="false">IF($C$5=0,"",C6/$C$5-1)</f>
        <v>0.0666666666666667</v>
      </c>
      <c r="G6" s="17" t="n">
        <f aca="false">IF($D$5=0,"",D6/$D$5-1)</f>
        <v>0.0166666666666666</v>
      </c>
    </row>
    <row r="7" customFormat="false" ht="15" hidden="false" customHeight="false" outlineLevel="0" collapsed="false">
      <c r="A7" s="10" t="s">
        <v>63</v>
      </c>
      <c r="B7" s="13" t="n">
        <v>116</v>
      </c>
      <c r="C7" s="13" t="n">
        <v>136</v>
      </c>
      <c r="D7" s="13" t="n">
        <v>124</v>
      </c>
      <c r="E7" s="18" t="n">
        <f aca="false">$B$5*(1+$B$2)</f>
        <v>132</v>
      </c>
      <c r="F7" s="17" t="n">
        <f aca="false">IF($C$5=0,"",C7/$C$5-1)</f>
        <v>0.133333333333333</v>
      </c>
      <c r="G7" s="17" t="n">
        <f aca="false">IF($D$5=0,"",D7/$D$5-1)</f>
        <v>0.0333333333333334</v>
      </c>
    </row>
    <row r="8" customFormat="false" ht="15" hidden="false" customHeight="false" outlineLevel="0" collapsed="false">
      <c r="A8" s="10" t="s">
        <v>64</v>
      </c>
      <c r="B8" s="13" t="n">
        <v>115</v>
      </c>
      <c r="C8" s="13" t="n">
        <v>142</v>
      </c>
      <c r="D8" s="13" t="n">
        <v>125</v>
      </c>
      <c r="E8" s="18" t="n">
        <f aca="false">$B$5*(1+$B$2)</f>
        <v>132</v>
      </c>
      <c r="F8" s="17" t="n">
        <f aca="false">IF($C$5=0,"",C8/$C$5-1)</f>
        <v>0.183333333333333</v>
      </c>
      <c r="G8" s="17" t="n">
        <f aca="false">IF($D$5=0,"",D8/$D$5-1)</f>
        <v>0.0416666666666667</v>
      </c>
    </row>
    <row r="9" customFormat="false" ht="15" hidden="false" customHeight="false" outlineLevel="0" collapsed="false">
      <c r="A9" s="10" t="s">
        <v>65</v>
      </c>
      <c r="B9" s="13" t="n">
        <v>113</v>
      </c>
      <c r="C9" s="13" t="n">
        <v>147</v>
      </c>
      <c r="D9" s="13" t="n">
        <v>126</v>
      </c>
      <c r="E9" s="18" t="n">
        <f aca="false">$B$5*(1+$B$2)</f>
        <v>132</v>
      </c>
      <c r="F9" s="17" t="n">
        <f aca="false">IF($C$5=0,"",C9/$C$5-1)</f>
        <v>0.225</v>
      </c>
      <c r="G9" s="17" t="n">
        <f aca="false">IF($D$5=0,"",D9/$D$5-1)</f>
        <v>0.05</v>
      </c>
    </row>
    <row r="10" customFormat="false" ht="15" hidden="false" customHeight="false" outlineLevel="0" collapsed="false">
      <c r="A10" s="10" t="s">
        <v>66</v>
      </c>
      <c r="B10" s="13" t="n">
        <v>112</v>
      </c>
      <c r="C10" s="13" t="n">
        <v>151</v>
      </c>
      <c r="D10" s="13" t="n">
        <v>126</v>
      </c>
      <c r="E10" s="18" t="n">
        <f aca="false">$B$5*(1+$B$2)</f>
        <v>132</v>
      </c>
      <c r="F10" s="17" t="n">
        <f aca="false">IF($C$5=0,"",C10/$C$5-1)</f>
        <v>0.258333333333333</v>
      </c>
      <c r="G10" s="17" t="n">
        <f aca="false">IF($D$5=0,"",D10/$D$5-1)</f>
        <v>0.05</v>
      </c>
    </row>
    <row r="12" customFormat="false" ht="15" hidden="false" customHeight="true" outlineLevel="0" collapsed="false">
      <c r="A12" s="12" t="s">
        <v>67</v>
      </c>
      <c r="B12" s="10" t="s">
        <v>68</v>
      </c>
      <c r="C12" s="10"/>
      <c r="D12" s="10"/>
      <c r="E12" s="10"/>
      <c r="F12" s="10"/>
      <c r="G12" s="10"/>
    </row>
  </sheetData>
  <mergeCells count="1">
    <mergeCell ref="B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22"/>
    <col collapsed="false" customWidth="true" hidden="false" outlineLevel="0" max="4" min="4" style="0" width="60"/>
  </cols>
  <sheetData>
    <row r="1" customFormat="false" ht="30" hidden="false" customHeight="true" outlineLevel="0" collapsed="false">
      <c r="A1" s="11" t="s">
        <v>69</v>
      </c>
      <c r="B1" s="11" t="s">
        <v>56</v>
      </c>
      <c r="C1" s="11" t="s">
        <v>57</v>
      </c>
      <c r="D1" s="11" t="s">
        <v>70</v>
      </c>
    </row>
    <row r="2" customFormat="false" ht="15" hidden="false" customHeight="false" outlineLevel="0" collapsed="false">
      <c r="A2" s="10" t="s">
        <v>71</v>
      </c>
      <c r="B2" s="19" t="n">
        <v>-2</v>
      </c>
      <c r="C2" s="19" t="n">
        <v>-1</v>
      </c>
      <c r="D2" s="10"/>
    </row>
    <row r="3" customFormat="false" ht="15" hidden="false" customHeight="false" outlineLevel="0" collapsed="false">
      <c r="A3" s="10" t="s">
        <v>72</v>
      </c>
      <c r="B3" s="19" t="n">
        <v>-1</v>
      </c>
      <c r="C3" s="19" t="n">
        <v>0</v>
      </c>
      <c r="D3" s="10"/>
    </row>
    <row r="4" customFormat="false" ht="15" hidden="false" customHeight="false" outlineLevel="0" collapsed="false">
      <c r="A4" s="10" t="s">
        <v>73</v>
      </c>
      <c r="B4" s="19" t="n">
        <v>1</v>
      </c>
      <c r="C4" s="19" t="n">
        <v>1</v>
      </c>
      <c r="D4" s="10"/>
    </row>
    <row r="5" customFormat="false" ht="15" hidden="false" customHeight="false" outlineLevel="0" collapsed="false">
      <c r="A5" s="10" t="s">
        <v>74</v>
      </c>
      <c r="B5" s="19" t="n">
        <v>-1</v>
      </c>
      <c r="C5" s="19" t="n">
        <v>0</v>
      </c>
      <c r="D5" s="10"/>
    </row>
    <row r="7" customFormat="false" ht="15" hidden="false" customHeight="false" outlineLevel="0" collapsed="false">
      <c r="A7" s="12" t="s">
        <v>75</v>
      </c>
    </row>
    <row r="8" customFormat="false" ht="15" hidden="false" customHeight="false" outlineLevel="0" collapsed="false">
      <c r="A8" s="16" t="s">
        <v>76</v>
      </c>
    </row>
    <row r="9" customFormat="false" ht="15" hidden="false" customHeight="false" outlineLevel="0" collapsed="false">
      <c r="A9" s="16" t="s">
        <v>77</v>
      </c>
    </row>
  </sheetData>
  <dataValidations count="1">
    <dataValidation allowBlank="false" error="Use um inteiro de −2 a +2." errorStyle="stop" operator="between" showDropDown="false" showErrorMessage="true" showInputMessage="false" sqref="B2:C5" type="whole">
      <formula1>-2</formula1>
      <formula2>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2026-10-30T04:30:38Z</dcterms:created>
  <dc:creator>openpyxl</dc:creator>
  <dc:description/>
  <dc:language>en-US</dc:language>
  <cp:lastModifiedBy/>
  <dcterms:modified xsi:type="dcterms:W3CDTF">2026-10-30T04:30:39Z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