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vmlDrawing1.vml" ContentType="application/vnd.openxmlformats-officedocument.vmlDrawing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eia-me" sheetId="1" state="visible" r:id="rId3"/>
    <sheet name="Hipóteses" sheetId="2" state="visible" r:id="rId4"/>
    <sheet name="Cenários" sheetId="3" state="visible" r:id="rId5"/>
    <sheet name="Potencialidades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H1" authorId="0">
      <text>
        <r>
          <rPr>
            <sz val="10"/>
            <rFont val="Arial"/>
            <family val="2"/>
          </rPr>
          <t xml:space="preserve">Em proporção: 10% = 0,10. Aumento/redução: o limiar é uma variação (para redução, informe positivo). Acima de/abaixo de: o limiar é um nível (ex.: 0,80 = 80%).</t>
        </r>
      </text>
    </comment>
    <comment ref="K1" authorId="0">
      <text>
        <r>
          <rPr>
            <sz val="10"/>
            <rFont val="Arial"/>
            <family val="2"/>
          </rPr>
          <t xml:space="preserve">Sugestão automática: atingiu o limiar → Sustentada (ou Sustentada em parte, se a confiança é baixa); metade do limiar → Sustentada em parte; abaixo → Não sustentada; sem dado → Inconclusiva. O resultado que vale é o da coluna L, decidido pelo autor.</t>
        </r>
      </text>
    </comment>
  </commentList>
</comments>
</file>

<file path=xl/sharedStrings.xml><?xml version="1.0" encoding="utf-8"?>
<sst xmlns="http://schemas.openxmlformats.org/spreadsheetml/2006/main" count="93" uniqueCount="90">
  <si>
    <t xml:space="preserve">Planilha de testagem de hipóteses e gráficos do quadro comparativo</t>
  </si>
  <si>
    <t xml:space="preserve">Metodologia padrão de análise da ênfase jur. Versão do método 1.0.</t>
  </si>
  <si>
    <t xml:space="preserve">Como usar</t>
  </si>
  <si>
    <t xml:space="preserve">1. Preencha só as células amarelas (texto azul). As demais são fórmulas e se atualizam sozinhas.</t>
  </si>
  <si>
    <t xml:space="preserve">2. Aba Hipóteses: uma linha por hipótese do parecer técnico (parte 6). O critério sugere um resultado; o resultado final é sempre do autor (coluna L).</t>
  </si>
  <si>
    <t xml:space="preserve">3. Aba Cenários: valores do indicador da H1 por ano em cada cenário (A, B, C). O gráfico de trajetória e o limiar da H1 se atualizam.</t>
  </si>
  <si>
    <t xml:space="preserve">4. Aba Potencialidades: direção do efeito de B e C em relação a A, de −2 a +2, por dimensão. O gráfico se atualiza.</t>
  </si>
  <si>
    <t xml:space="preserve">5. Copie os gráficos para o quadro comparativo (parte C) e cite, abaixo de cada um, a fonte e o ano dos dados.</t>
  </si>
  <si>
    <t xml:space="preserve">Cores dos cenários (as mesmas em todos os gráficos e documentos)</t>
  </si>
  <si>
    <t xml:space="preserve">Cenário A, referência (a proposta não é aprovada): azul #2A78D6</t>
  </si>
  <si>
    <t xml:space="preserve">Cenário B, aprovada como está: laranja #EB6834</t>
  </si>
  <si>
    <t xml:space="preserve">Cenário C, aprovada com os ajustes recomendados: verde-água #1BAF7A</t>
  </si>
  <si>
    <t xml:space="preserve">Limiar da hipótese: linha cinza #8A8984</t>
  </si>
  <si>
    <t xml:space="preserve">Regras dos gráficos</t>
  </si>
  <si>
    <t xml:space="preserve">Um eixo só (nunca dois eixos verticais). Valor do rótulo no fim da linha ou da barra. Fonte e ano abaixo de cada gráfico. Sem 3D, sem sombra.</t>
  </si>
  <si>
    <t xml:space="preserve">EXEMPLO DIDÁTICO sobre a Lei nº 15.190/2025. Dados observados reais (MapBiomas RAD; SFB/Sicar), conferidos em 30/10/2026. Os cenários de 2026 a 2030 são trajetórias por premissa, não previsões.</t>
  </si>
  <si>
    <t xml:space="preserve">Célula para preencher</t>
  </si>
  <si>
    <t xml:space="preserve">Nº</t>
  </si>
  <si>
    <t xml:space="preserve">Hipótese (como no parecer técnico)</t>
  </si>
  <si>
    <t xml:space="preserve">Indicador</t>
  </si>
  <si>
    <t xml:space="preserve">Unidade</t>
  </si>
  <si>
    <t xml:space="preserve">Fonte da linha de base</t>
  </si>
  <si>
    <t xml:space="preserve">Linha de base</t>
  </si>
  <si>
    <t xml:space="preserve">Sentido esperado</t>
  </si>
  <si>
    <t xml:space="preserve">Limiar (variação ou nível que sustenta a hipótese)</t>
  </si>
  <si>
    <t xml:space="preserve">Observado (variação ou nível)</t>
  </si>
  <si>
    <t xml:space="preserve">Confiança da evidência</t>
  </si>
  <si>
    <t xml:space="preserve">Resultado pelo critério</t>
  </si>
  <si>
    <t xml:space="preserve">Resultado final (autor)</t>
  </si>
  <si>
    <t xml:space="preserve">Justificativa em 1 linha</t>
  </si>
  <si>
    <t xml:space="preserve">H1</t>
  </si>
  <si>
    <t xml:space="preserve">Se mantida a dispensa do art. 9º, a área desmatada anual tende a parar de cair, porque a abertura de áreas para cultivo e pecuária deixa de passar por análise de localização e condicionantes.</t>
  </si>
  <si>
    <t xml:space="preserve">Área desmatada no Brasil (RAD MapBiomas)</t>
  </si>
  <si>
    <t xml:space="preserve">ha/ano</t>
  </si>
  <si>
    <t xml:space="preserve">MapBiomas, RAD 2025 (dado de 2025)</t>
  </si>
  <si>
    <t xml:space="preserve">aumento</t>
  </si>
  <si>
    <t xml:space="preserve">Inconclusiva</t>
  </si>
  <si>
    <t xml:space="preserve">Lei em vigor desde 4/2/2026; o RAD com dados de 2026 sai em maio de 2027.</t>
  </si>
  <si>
    <t xml:space="preserve">H2</t>
  </si>
  <si>
    <t xml:space="preserve">A dispensa recai sobre o vetor que concentra a perda de vegetação nativa no país.</t>
  </si>
  <si>
    <t xml:space="preserve">Participação da agropecuária na área desmatada</t>
  </si>
  <si>
    <t xml:space="preserve">%</t>
  </si>
  <si>
    <t xml:space="preserve">MapBiomas, RAD 2024 (série 2019-2024)</t>
  </si>
  <si>
    <t xml:space="preserve">acima de</t>
  </si>
  <si>
    <t xml:space="preserve">média</t>
  </si>
  <si>
    <t xml:space="preserve">Sustentada</t>
  </si>
  <si>
    <t xml:space="preserve">Mais de 97% da perda de vegetação nativa de 2019 a 2024 teve a agropecuária como vetor.</t>
  </si>
  <si>
    <t xml:space="preserve">H3</t>
  </si>
  <si>
    <t xml:space="preserve">O filtro de regularidade do § 1º tende a ser declaratório, porque a maior parte dos cadastros no CAR não foi analisada.</t>
  </si>
  <si>
    <t xml:space="preserve">Cadastros no CAR com análise concluída</t>
  </si>
  <si>
    <t xml:space="preserve">SFB, Sicar, dez/2025 (via Portal DBO)</t>
  </si>
  <si>
    <t xml:space="preserve">abaixo de</t>
  </si>
  <si>
    <t xml:space="preserve">480,7 mil análises concluídas em 8,15 milhões de cadastros (5,9%) no fim de 2025.</t>
  </si>
  <si>
    <t xml:space="preserve">H4</t>
  </si>
  <si>
    <t xml:space="preserve">H5</t>
  </si>
  <si>
    <t xml:space="preserve">H6</t>
  </si>
  <si>
    <t xml:space="preserve">Critérios</t>
  </si>
  <si>
    <t xml:space="preserve">Sustentada: o indicador atinge o limiar no sentido esperado, com evidência de confiança alta ou média.</t>
  </si>
  <si>
    <t xml:space="preserve">Sustentada em parte: atinge ao menos metade do limiar, ou atinge o limiar só com evidência de confiança baixa.</t>
  </si>
  <si>
    <t xml:space="preserve">Não sustentada: fica abaixo da metade do limiar ou vai no sentido contrário.</t>
  </si>
  <si>
    <t xml:space="preserve">Inconclusiva: não há dado ou caso comparável suficiente. Diga o que faltou.</t>
  </si>
  <si>
    <t xml:space="preserve">Indicador da H1</t>
  </si>
  <si>
    <t xml:space="preserve">Área desmatada no Brasil (MapBiomas, RAD) (mil ha/ano)</t>
  </si>
  <si>
    <t xml:space="preserve">Limiar da H1 (variação)</t>
  </si>
  <si>
    <t xml:space="preserve">Ano</t>
  </si>
  <si>
    <t xml:space="preserve">A. Sem a dispensa (regime anterior)</t>
  </si>
  <si>
    <t xml:space="preserve">B. Lei como está (vetos derrubados)</t>
  </si>
  <si>
    <t xml:space="preserve">C. Com os ajustes recomendados</t>
  </si>
  <si>
    <t xml:space="preserve">Limiar da H1</t>
  </si>
  <si>
    <t xml:space="preserve">Variação de B sobre o ano base</t>
  </si>
  <si>
    <t xml:space="preserve">Variação de C sobre o ano base</t>
  </si>
  <si>
    <t xml:space="preserve">2025</t>
  </si>
  <si>
    <t xml:space="preserve">2026</t>
  </si>
  <si>
    <t xml:space="preserve">2027</t>
  </si>
  <si>
    <t xml:space="preserve">2028</t>
  </si>
  <si>
    <t xml:space="preserve">2029</t>
  </si>
  <si>
    <t xml:space="preserve">2030</t>
  </si>
  <si>
    <t xml:space="preserve">Fonte e premissas:</t>
  </si>
  <si>
    <t xml:space="preserve">Base 2025: 984.794 ha (MapBiomas, RAD 2025). A. Sem a dispensa (regime anterior): queda de 10% ao ano, metade do ritmo de 2024 para 2025 · B. Lei como está (vetos derrubados): alta de 5% ao ano com a reabertura de frentes sem análise de localização · C. Com os ajustes recomendados: queda de 5% ao ano, com CAR analisado exigido nas regiões críticas.</t>
  </si>
  <si>
    <t xml:space="preserve">Dimensão</t>
  </si>
  <si>
    <t xml:space="preserve">B. Aprovada como está</t>
  </si>
  <si>
    <t xml:space="preserve">C. Aprovada com ajustes</t>
  </si>
  <si>
    <t xml:space="preserve">Por que (1 linha)</t>
  </si>
  <si>
    <t xml:space="preserve">Ambiental</t>
  </si>
  <si>
    <t xml:space="preserve">Social</t>
  </si>
  <si>
    <t xml:space="preserve">Econômica</t>
  </si>
  <si>
    <t xml:space="preserve">Institucional e fiscal</t>
  </si>
  <si>
    <t xml:space="preserve">Escala (sempre em relação ao cenário A, a referência)</t>
  </si>
  <si>
    <t xml:space="preserve">−2 piora muito · −1 piora · 0 sem mudança · +1 melhora · +2 melhora muito</t>
  </si>
  <si>
    <t xml:space="preserve">Dimensões fixas: ambiental, social, econômica, institucional e fiscal (as mesmas do parecer técnico, parte 7).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</si>
</sst>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"/>
    <numFmt numFmtId="166" formatCode="0.0%"/>
    <numFmt numFmtId="167" formatCode="0%"/>
    <numFmt numFmtId="168" formatCode="\+0;\-0;0"/>
  </numFmts>
  <fonts count="1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0"/>
      <color rgb="FF52514E"/>
      <name val="Arial"/>
      <family val="0"/>
      <charset val="1"/>
    </font>
    <font>
      <sz val="10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0"/>
      <color rgb="FF2A78D6"/>
      <name val="Arial"/>
      <family val="0"/>
      <charset val="1"/>
    </font>
    <font>
      <b val="true"/>
      <sz val="10"/>
      <color rgb="FFEB6834"/>
      <name val="Arial"/>
      <family val="0"/>
      <charset val="1"/>
    </font>
    <font>
      <b val="true"/>
      <sz val="10"/>
      <color rgb="FF1BAF7A"/>
      <name val="Arial"/>
      <family val="0"/>
      <charset val="1"/>
    </font>
    <font>
      <b val="true"/>
      <sz val="10"/>
      <color rgb="FF8A8984"/>
      <name val="Arial"/>
      <family val="0"/>
      <charset val="1"/>
    </font>
    <font>
      <b val="true"/>
      <sz val="10"/>
      <color rgb="FFB23B3B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23864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2A8"/>
        <bgColor rgb="FFE6E5E0"/>
      </patternFill>
    </fill>
    <fill>
      <patternFill patternType="solid">
        <fgColor rgb="FFEEF6F1"/>
        <bgColor rgb="FFE6E5E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5DDD8"/>
      </left>
      <right style="thin">
        <color rgb="FFD5DDD8"/>
      </right>
      <top style="thin">
        <color rgb="FFD5DDD8"/>
      </top>
      <bottom style="thin">
        <color rgb="FFD5DDD8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13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4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3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13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8" fontId="13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EF6F1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5DDD8"/>
      <rgbColor rgb="FF878787"/>
      <rgbColor rgb="FF9999FF"/>
      <rgbColor rgb="FFB23B3B"/>
      <rgbColor rgb="FFE6E5E0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2A8"/>
      <rgbColor rgb="FF99CCFF"/>
      <rgbColor rgb="FFFF99CC"/>
      <rgbColor rgb="FFCC99FF"/>
      <rgbColor rgb="FFFFCC99"/>
      <rgbColor rgb="FF2A78D6"/>
      <rgbColor rgb="FF1BAF7A"/>
      <rgbColor rgb="FF99CC00"/>
      <rgbColor rgb="FFFFCC00"/>
      <rgbColor rgb="FFFF9900"/>
      <rgbColor rgb="FFEB6834"/>
      <rgbColor rgb="FF666699"/>
      <rgbColor rgb="FF8A8984"/>
      <rgbColor rgb="FF003366"/>
      <rgbColor rgb="FF23864F"/>
      <rgbColor rgb="FF003300"/>
      <rgbColor rgb="FF333300"/>
      <rgbColor rgb="FF993300"/>
      <rgbColor rgb="FF993366"/>
      <rgbColor rgb="FF333399"/>
      <rgbColor rgb="FF52514E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ineChart>
        <c:grouping val="standard"/>
        <c:varyColors val="0"/>
        <c:ser>
          <c:idx val="0"/>
          <c:order val="0"/>
          <c:tx>
            <c:strRef>
              <c:f>Cenários!B4</c:f>
              <c:strCache>
                <c:ptCount val="1"/>
                <c:pt idx="0">
                  <c:v>A. Sem a dispensa (regime anterior)</c:v>
                </c:pt>
              </c:strCache>
            </c:strRef>
          </c:tx>
          <c:spPr>
            <a:solidFill>
              <a:srgbClr val="2a78d6"/>
            </a:solidFill>
            <a:ln w="19080">
              <a:solidFill>
                <a:srgbClr val="2a78d6"/>
              </a:solidFill>
              <a:round/>
            </a:ln>
          </c:spPr>
          <c:marker>
            <c:symbol val="circle"/>
            <c:size val="6"/>
            <c:spPr>
              <a:solidFill>
                <a:srgbClr val="2a78d6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Cenários!$A$5:$A$10</c:f>
              <c:strCache>
                <c:ptCount val="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</c:strCache>
            </c:strRef>
          </c:cat>
          <c:val>
            <c:numRef>
              <c:f>Cenários!$B$5:$B$10</c:f>
              <c:numCache>
                <c:formatCode>#,##0</c:formatCode>
                <c:ptCount val="6"/>
                <c:pt idx="0">
                  <c:v>985</c:v>
                </c:pt>
                <c:pt idx="1">
                  <c:v>886</c:v>
                </c:pt>
                <c:pt idx="2">
                  <c:v>798</c:v>
                </c:pt>
                <c:pt idx="3">
                  <c:v>718</c:v>
                </c:pt>
                <c:pt idx="4">
                  <c:v>646</c:v>
                </c:pt>
                <c:pt idx="5">
                  <c:v>582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Cenários!C4</c:f>
              <c:strCache>
                <c:ptCount val="1"/>
                <c:pt idx="0">
                  <c:v>B. Lei como está (vetos derrubados)</c:v>
                </c:pt>
              </c:strCache>
            </c:strRef>
          </c:tx>
          <c:spPr>
            <a:solidFill>
              <a:srgbClr val="eb6834"/>
            </a:solidFill>
            <a:ln w="19080">
              <a:solidFill>
                <a:srgbClr val="eb6834"/>
              </a:solidFill>
              <a:round/>
            </a:ln>
          </c:spPr>
          <c:marker>
            <c:symbol val="circle"/>
            <c:size val="6"/>
            <c:spPr>
              <a:solidFill>
                <a:srgbClr val="eb6834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Cenários!$A$5:$A$10</c:f>
              <c:strCache>
                <c:ptCount val="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</c:strCache>
            </c:strRef>
          </c:cat>
          <c:val>
            <c:numRef>
              <c:f>Cenários!$C$5:$C$10</c:f>
              <c:numCache>
                <c:formatCode>#,##0</c:formatCode>
                <c:ptCount val="6"/>
                <c:pt idx="0">
                  <c:v>985</c:v>
                </c:pt>
                <c:pt idx="1">
                  <c:v>1034</c:v>
                </c:pt>
                <c:pt idx="2">
                  <c:v>1086</c:v>
                </c:pt>
                <c:pt idx="3">
                  <c:v>1140</c:v>
                </c:pt>
                <c:pt idx="4">
                  <c:v>1197</c:v>
                </c:pt>
                <c:pt idx="5">
                  <c:v>1257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Cenários!D4</c:f>
              <c:strCache>
                <c:ptCount val="1"/>
                <c:pt idx="0">
                  <c:v>C. Com os ajustes recomendados</c:v>
                </c:pt>
              </c:strCache>
            </c:strRef>
          </c:tx>
          <c:spPr>
            <a:solidFill>
              <a:srgbClr val="1baf7a"/>
            </a:solidFill>
            <a:ln w="19080">
              <a:solidFill>
                <a:srgbClr val="1baf7a"/>
              </a:solidFill>
              <a:round/>
            </a:ln>
          </c:spPr>
          <c:marker>
            <c:symbol val="circle"/>
            <c:size val="6"/>
            <c:spPr>
              <a:solidFill>
                <a:srgbClr val="1baf7a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Cenários!$A$5:$A$10</c:f>
              <c:strCache>
                <c:ptCount val="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</c:strCache>
            </c:strRef>
          </c:cat>
          <c:val>
            <c:numRef>
              <c:f>Cenários!$D$5:$D$10</c:f>
              <c:numCache>
                <c:formatCode>#,##0</c:formatCode>
                <c:ptCount val="6"/>
                <c:pt idx="0">
                  <c:v>985</c:v>
                </c:pt>
                <c:pt idx="1">
                  <c:v>936</c:v>
                </c:pt>
                <c:pt idx="2">
                  <c:v>889</c:v>
                </c:pt>
                <c:pt idx="3">
                  <c:v>844</c:v>
                </c:pt>
                <c:pt idx="4">
                  <c:v>802</c:v>
                </c:pt>
                <c:pt idx="5">
                  <c:v>762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Cenários!E4</c:f>
              <c:strCache>
                <c:ptCount val="1"/>
                <c:pt idx="0">
                  <c:v>Limiar da H1</c:v>
                </c:pt>
              </c:strCache>
            </c:strRef>
          </c:tx>
          <c:spPr>
            <a:solidFill>
              <a:srgbClr val="8a8984"/>
            </a:solidFill>
            <a:ln w="12600">
              <a:solidFill>
                <a:srgbClr val="8a8984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Cenários!$A$5:$A$10</c:f>
              <c:strCache>
                <c:ptCount val="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</c:strCache>
            </c:strRef>
          </c:cat>
          <c:val>
            <c:numRef>
              <c:f>Cenários!$E$5:$E$10</c:f>
              <c:numCache>
                <c:formatCode>#,##0</c:formatCode>
                <c:ptCount val="6"/>
                <c:pt idx="0">
                  <c:v>985</c:v>
                </c:pt>
                <c:pt idx="1">
                  <c:v>985</c:v>
                </c:pt>
                <c:pt idx="2">
                  <c:v>985</c:v>
                </c:pt>
                <c:pt idx="3">
                  <c:v>985</c:v>
                </c:pt>
                <c:pt idx="4">
                  <c:v>985</c:v>
                </c:pt>
                <c:pt idx="5">
                  <c:v>985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25407415"/>
        <c:axId val="18399316"/>
      </c:lineChart>
      <c:catAx>
        <c:axId val="254074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8399316"/>
        <c:crosses val="autoZero"/>
        <c:auto val="1"/>
        <c:lblAlgn val="ctr"/>
        <c:lblOffset val="100"/>
        <c:noMultiLvlLbl val="0"/>
      </c:catAx>
      <c:valAx>
        <c:axId val="18399316"/>
        <c:scaling>
          <c:orientation val="minMax"/>
        </c:scaling>
        <c:delete val="0"/>
        <c:axPos val="l"/>
        <c:majorGridlines>
          <c:spPr>
            <a:ln w="6480">
              <a:solidFill>
                <a:srgbClr val="e6e5e0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mil ha/ano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5407415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barChart>
        <c:barDir val="bar"/>
        <c:grouping val="clustered"/>
        <c:varyColors val="0"/>
        <c:ser>
          <c:idx val="0"/>
          <c:order val="0"/>
          <c:tx>
            <c:strRef>
              <c:f>Potencialidades!B1</c:f>
              <c:strCache>
                <c:ptCount val="1"/>
                <c:pt idx="0">
                  <c:v>B. Aprovada como está</c:v>
                </c:pt>
              </c:strCache>
            </c:strRef>
          </c:tx>
          <c:spPr>
            <a:solidFill>
              <a:srgbClr val="eb6834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Potencialidades!$A$2:$A$5</c:f>
              <c:strCache>
                <c:ptCount val="4"/>
                <c:pt idx="0">
                  <c:v>Ambiental</c:v>
                </c:pt>
                <c:pt idx="1">
                  <c:v>Social</c:v>
                </c:pt>
                <c:pt idx="2">
                  <c:v>Econômica</c:v>
                </c:pt>
                <c:pt idx="3">
                  <c:v>Institucional e fiscal</c:v>
                </c:pt>
              </c:strCache>
            </c:strRef>
          </c:cat>
          <c:val>
            <c:numRef>
              <c:f>Potencialidades!$B$2:$B$5</c:f>
              <c:numCache>
                <c:formatCode>\+0;\-0;0</c:formatCode>
                <c:ptCount val="4"/>
                <c:pt idx="0">
                  <c:v>-2</c:v>
                </c:pt>
                <c:pt idx="1">
                  <c:v>-1</c:v>
                </c:pt>
                <c:pt idx="2">
                  <c:v>1</c:v>
                </c:pt>
                <c:pt idx="3">
                  <c:v>-1</c:v>
                </c:pt>
              </c:numCache>
            </c:numRef>
          </c:val>
        </c:ser>
        <c:ser>
          <c:idx val="1"/>
          <c:order val="1"/>
          <c:tx>
            <c:strRef>
              <c:f>Potencialidades!C1</c:f>
              <c:strCache>
                <c:ptCount val="1"/>
                <c:pt idx="0">
                  <c:v>C. Aprovada com ajustes</c:v>
                </c:pt>
              </c:strCache>
            </c:strRef>
          </c:tx>
          <c:spPr>
            <a:solidFill>
              <a:srgbClr val="1baf7a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Potencialidades!$A$2:$A$5</c:f>
              <c:strCache>
                <c:ptCount val="4"/>
                <c:pt idx="0">
                  <c:v>Ambiental</c:v>
                </c:pt>
                <c:pt idx="1">
                  <c:v>Social</c:v>
                </c:pt>
                <c:pt idx="2">
                  <c:v>Econômica</c:v>
                </c:pt>
                <c:pt idx="3">
                  <c:v>Institucional e fiscal</c:v>
                </c:pt>
              </c:strCache>
            </c:strRef>
          </c:cat>
          <c:val>
            <c:numRef>
              <c:f>Potencialidades!$C$2:$C$5</c:f>
              <c:numCache>
                <c:formatCode>\+0;\-0;0</c:formatCode>
                <c:ptCount val="4"/>
                <c:pt idx="0">
                  <c:v>-1</c:v>
                </c:pt>
                <c:pt idx="1">
                  <c:v>0</c:v>
                </c:pt>
                <c:pt idx="2">
                  <c:v>1</c:v>
                </c:pt>
                <c:pt idx="3">
                  <c:v>0</c:v>
                </c:pt>
              </c:numCache>
            </c:numRef>
          </c:val>
        </c:ser>
        <c:gapWidth val="60"/>
        <c:overlap val="-5"/>
        <c:axId val="7766018"/>
        <c:axId val="43426977"/>
      </c:barChart>
      <c:catAx>
        <c:axId val="7766018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low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3426977"/>
        <c:crosses val="autoZero"/>
        <c:auto val="1"/>
        <c:lblAlgn val="ctr"/>
        <c:lblOffset val="100"/>
        <c:noMultiLvlLbl val="0"/>
      </c:catAx>
      <c:valAx>
        <c:axId val="43426977"/>
        <c:scaling>
          <c:orientation val="minMax"/>
          <c:max val="2"/>
          <c:min val="-2"/>
        </c:scaling>
        <c:delete val="0"/>
        <c:axPos val="l"/>
        <c:majorGridlines>
          <c:spPr>
            <a:ln w="6480">
              <a:solidFill>
                <a:srgbClr val="e6e5e0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← piora · melhora → (em relação ao cenário A)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+0;\-0;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766018"/>
        <c:crosses val="autoZero"/>
        <c:crossBetween val="between"/>
        <c:majorUnit val="1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11</xdr:row>
      <xdr:rowOff>126360</xdr:rowOff>
    </xdr:from>
    <xdr:to>
      <xdr:col>4</xdr:col>
      <xdr:colOff>448200</xdr:colOff>
      <xdr:row>27</xdr:row>
      <xdr:rowOff>63360</xdr:rowOff>
    </xdr:to>
    <xdr:graphicFrame>
      <xdr:nvGraphicFramePr>
        <xdr:cNvPr id="0" name="Chart 1"/>
        <xdr:cNvGraphicFramePr/>
      </xdr:nvGraphicFramePr>
      <xdr:xfrm>
        <a:off x="0" y="2666880"/>
        <a:ext cx="791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10</xdr:row>
      <xdr:rowOff>0</xdr:rowOff>
    </xdr:from>
    <xdr:to>
      <xdr:col>3</xdr:col>
      <xdr:colOff>2985840</xdr:colOff>
      <xdr:row>27</xdr:row>
      <xdr:rowOff>1080</xdr:rowOff>
    </xdr:to>
    <xdr:graphicFrame>
      <xdr:nvGraphicFramePr>
        <xdr:cNvPr id="1" name="Chart 1"/>
        <xdr:cNvGraphicFramePr/>
      </xdr:nvGraphicFramePr>
      <xdr:xfrm>
        <a:off x="0" y="2095560"/>
        <a:ext cx="791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2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3"/>
    </row>
    <row r="4" customFormat="false" ht="15" hidden="false" customHeight="false" outlineLevel="0" collapsed="false">
      <c r="A4" s="4" t="s">
        <v>2</v>
      </c>
    </row>
    <row r="5" customFormat="false" ht="15" hidden="false" customHeight="false" outlineLevel="0" collapsed="false">
      <c r="A5" s="3" t="s">
        <v>3</v>
      </c>
    </row>
    <row r="6" customFormat="false" ht="23.85" hidden="false" customHeight="false" outlineLevel="0" collapsed="false">
      <c r="A6" s="3" t="s">
        <v>4</v>
      </c>
    </row>
    <row r="7" customFormat="false" ht="15" hidden="false" customHeight="false" outlineLevel="0" collapsed="false">
      <c r="A7" s="3" t="s">
        <v>5</v>
      </c>
    </row>
    <row r="8" customFormat="false" ht="15" hidden="false" customHeight="false" outlineLevel="0" collapsed="false">
      <c r="A8" s="3" t="s">
        <v>6</v>
      </c>
    </row>
    <row r="9" customFormat="false" ht="15" hidden="false" customHeight="false" outlineLevel="0" collapsed="false">
      <c r="A9" s="3" t="s">
        <v>7</v>
      </c>
    </row>
    <row r="10" customFormat="false" ht="15" hidden="false" customHeight="false" outlineLevel="0" collapsed="false">
      <c r="A10" s="3"/>
    </row>
    <row r="11" customFormat="false" ht="15" hidden="false" customHeight="false" outlineLevel="0" collapsed="false">
      <c r="A11" s="4" t="s">
        <v>8</v>
      </c>
    </row>
    <row r="12" customFormat="false" ht="15" hidden="false" customHeight="false" outlineLevel="0" collapsed="false">
      <c r="A12" s="5" t="s">
        <v>9</v>
      </c>
    </row>
    <row r="13" customFormat="false" ht="15" hidden="false" customHeight="false" outlineLevel="0" collapsed="false">
      <c r="A13" s="6" t="s">
        <v>10</v>
      </c>
    </row>
    <row r="14" customFormat="false" ht="15" hidden="false" customHeight="false" outlineLevel="0" collapsed="false">
      <c r="A14" s="7" t="s">
        <v>11</v>
      </c>
    </row>
    <row r="15" customFormat="false" ht="15" hidden="false" customHeight="false" outlineLevel="0" collapsed="false">
      <c r="A15" s="8" t="s">
        <v>12</v>
      </c>
    </row>
    <row r="16" customFormat="false" ht="15" hidden="false" customHeight="false" outlineLevel="0" collapsed="false">
      <c r="A16" s="3"/>
    </row>
    <row r="17" customFormat="false" ht="15" hidden="false" customHeight="false" outlineLevel="0" collapsed="false">
      <c r="A17" s="4" t="s">
        <v>13</v>
      </c>
    </row>
    <row r="18" customFormat="false" ht="23.85" hidden="false" customHeight="false" outlineLevel="0" collapsed="false">
      <c r="A18" s="3" t="s">
        <v>14</v>
      </c>
    </row>
    <row r="19" customFormat="false" ht="15" hidden="false" customHeight="false" outlineLevel="0" collapsed="false">
      <c r="A19" s="3"/>
    </row>
    <row r="20" customFormat="false" ht="23.85" hidden="false" customHeight="false" outlineLevel="0" collapsed="false">
      <c r="A20" s="9" t="s">
        <v>15</v>
      </c>
    </row>
    <row r="22" customFormat="false" ht="15" hidden="false" customHeight="false" outlineLevel="0" collapsed="false">
      <c r="A22" s="10" t="s">
        <v>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M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42"/>
    <col collapsed="false" customWidth="true" hidden="false" outlineLevel="0" max="3" min="3" style="0" width="30"/>
    <col collapsed="false" customWidth="true" hidden="false" outlineLevel="0" max="4" min="4" style="0" width="12"/>
    <col collapsed="false" customWidth="true" hidden="false" outlineLevel="0" max="5" min="5" style="0" width="26"/>
    <col collapsed="false" customWidth="true" hidden="false" outlineLevel="0" max="6" min="6" style="0" width="12"/>
    <col collapsed="false" customWidth="true" hidden="false" outlineLevel="0" max="7" min="7" style="0" width="14"/>
    <col collapsed="false" customWidth="true" hidden="false" outlineLevel="0" max="9" min="8" style="0" width="16"/>
    <col collapsed="false" customWidth="true" hidden="false" outlineLevel="0" max="10" min="10" style="0" width="14"/>
    <col collapsed="false" customWidth="true" hidden="false" outlineLevel="0" max="12" min="11" style="0" width="20"/>
    <col collapsed="false" customWidth="true" hidden="false" outlineLevel="0" max="13" min="13" style="0" width="40"/>
  </cols>
  <sheetData>
    <row r="1" customFormat="false" ht="42" hidden="false" customHeight="true" outlineLevel="0" collapsed="false">
      <c r="A1" s="11" t="s">
        <v>17</v>
      </c>
      <c r="B1" s="11" t="s">
        <v>18</v>
      </c>
      <c r="C1" s="11" t="s">
        <v>19</v>
      </c>
      <c r="D1" s="11" t="s">
        <v>20</v>
      </c>
      <c r="E1" s="11" t="s">
        <v>21</v>
      </c>
      <c r="F1" s="11" t="s">
        <v>22</v>
      </c>
      <c r="G1" s="11" t="s">
        <v>23</v>
      </c>
      <c r="H1" s="11" t="s">
        <v>24</v>
      </c>
      <c r="I1" s="11" t="s">
        <v>25</v>
      </c>
      <c r="J1" s="11" t="s">
        <v>26</v>
      </c>
      <c r="K1" s="11" t="s">
        <v>27</v>
      </c>
      <c r="L1" s="11" t="s">
        <v>28</v>
      </c>
      <c r="M1" s="11" t="s">
        <v>29</v>
      </c>
    </row>
    <row r="2" customFormat="false" ht="60" hidden="false" customHeight="true" outlineLevel="0" collapsed="false">
      <c r="A2" s="12" t="s">
        <v>30</v>
      </c>
      <c r="B2" s="10" t="s">
        <v>31</v>
      </c>
      <c r="C2" s="10" t="s">
        <v>32</v>
      </c>
      <c r="D2" s="10" t="s">
        <v>33</v>
      </c>
      <c r="E2" s="10" t="s">
        <v>34</v>
      </c>
      <c r="F2" s="13" t="n">
        <v>984794</v>
      </c>
      <c r="G2" s="10" t="s">
        <v>35</v>
      </c>
      <c r="H2" s="14" t="n">
        <v>0</v>
      </c>
      <c r="I2" s="14"/>
      <c r="J2" s="10"/>
      <c r="K2" s="15" t="str">
        <f aca="false">IF(OR(H2="",I2=""),"Inconclusiva",IF(OR(AND(G2="aumento",I2&gt;=ABS(H2)),AND(G2="redução",-I2&gt;=ABS(H2)),AND(G2="acima de",I2&gt;=H2),AND(G2="abaixo de",I2&lt;=H2)),IF(J2="baixa","Sustentada em parte","Sustentada"),IF(OR(AND(G2="aumento",I2&gt;=ABS(H2)/2),AND(G2="redução",-I2&gt;=ABS(H2)/2)),"Sustentada em parte","Não sustentada")))</f>
        <v>Inconclusiva</v>
      </c>
      <c r="L2" s="10" t="s">
        <v>36</v>
      </c>
      <c r="M2" s="10" t="s">
        <v>37</v>
      </c>
    </row>
    <row r="3" customFormat="false" ht="60" hidden="false" customHeight="true" outlineLevel="0" collapsed="false">
      <c r="A3" s="12" t="s">
        <v>38</v>
      </c>
      <c r="B3" s="10" t="s">
        <v>39</v>
      </c>
      <c r="C3" s="10" t="s">
        <v>40</v>
      </c>
      <c r="D3" s="10" t="s">
        <v>41</v>
      </c>
      <c r="E3" s="10" t="s">
        <v>42</v>
      </c>
      <c r="F3" s="13"/>
      <c r="G3" s="10" t="s">
        <v>43</v>
      </c>
      <c r="H3" s="14" t="n">
        <v>0.8</v>
      </c>
      <c r="I3" s="14" t="n">
        <v>0.97</v>
      </c>
      <c r="J3" s="10" t="s">
        <v>44</v>
      </c>
      <c r="K3" s="15" t="str">
        <f aca="false">IF(OR(H3="",I3=""),"Inconclusiva",IF(OR(AND(G3="aumento",I3&gt;=ABS(H3)),AND(G3="redução",-I3&gt;=ABS(H3)),AND(G3="acima de",I3&gt;=H3),AND(G3="abaixo de",I3&lt;=H3)),IF(J3="baixa","Sustentada em parte","Sustentada"),IF(OR(AND(G3="aumento",I3&gt;=ABS(H3)/2),AND(G3="redução",-I3&gt;=ABS(H3)/2)),"Sustentada em parte","Não sustentada")))</f>
        <v>Sustentada</v>
      </c>
      <c r="L3" s="10" t="s">
        <v>45</v>
      </c>
      <c r="M3" s="10" t="s">
        <v>46</v>
      </c>
    </row>
    <row r="4" customFormat="false" ht="60" hidden="false" customHeight="true" outlineLevel="0" collapsed="false">
      <c r="A4" s="12" t="s">
        <v>47</v>
      </c>
      <c r="B4" s="10" t="s">
        <v>48</v>
      </c>
      <c r="C4" s="10" t="s">
        <v>49</v>
      </c>
      <c r="D4" s="10" t="s">
        <v>41</v>
      </c>
      <c r="E4" s="10" t="s">
        <v>50</v>
      </c>
      <c r="F4" s="13"/>
      <c r="G4" s="10" t="s">
        <v>51</v>
      </c>
      <c r="H4" s="14" t="n">
        <v>0.5</v>
      </c>
      <c r="I4" s="14" t="n">
        <v>0.059</v>
      </c>
      <c r="J4" s="10" t="s">
        <v>44</v>
      </c>
      <c r="K4" s="15" t="str">
        <f aca="false">IF(OR(H4="",I4=""),"Inconclusiva",IF(OR(AND(G4="aumento",I4&gt;=ABS(H4)),AND(G4="redução",-I4&gt;=ABS(H4)),AND(G4="acima de",I4&gt;=H4),AND(G4="abaixo de",I4&lt;=H4)),IF(J4="baixa","Sustentada em parte","Sustentada"),IF(OR(AND(G4="aumento",I4&gt;=ABS(H4)/2),AND(G4="redução",-I4&gt;=ABS(H4)/2)),"Sustentada em parte","Não sustentada")))</f>
        <v>Sustentada</v>
      </c>
      <c r="L4" s="10" t="s">
        <v>45</v>
      </c>
      <c r="M4" s="10" t="s">
        <v>52</v>
      </c>
    </row>
    <row r="5" customFormat="false" ht="60" hidden="false" customHeight="true" outlineLevel="0" collapsed="false">
      <c r="A5" s="12" t="s">
        <v>53</v>
      </c>
      <c r="B5" s="10"/>
      <c r="C5" s="10"/>
      <c r="D5" s="10"/>
      <c r="E5" s="10"/>
      <c r="F5" s="13"/>
      <c r="G5" s="10"/>
      <c r="H5" s="14"/>
      <c r="I5" s="14"/>
      <c r="J5" s="10"/>
      <c r="K5" s="15" t="str">
        <f aca="false">IF(OR(H5="",I5=""),"Inconclusiva",IF(OR(AND(G5="aumento",I5&gt;=ABS(H5)),AND(G5="redução",-I5&gt;=ABS(H5)),AND(G5="acima de",I5&gt;=H5),AND(G5="abaixo de",I5&lt;=H5)),IF(J5="baixa","Sustentada em parte","Sustentada"),IF(OR(AND(G5="aumento",I5&gt;=ABS(H5)/2),AND(G5="redução",-I5&gt;=ABS(H5)/2)),"Sustentada em parte","Não sustentada")))</f>
        <v>Inconclusiva</v>
      </c>
      <c r="L5" s="10"/>
      <c r="M5" s="10"/>
    </row>
    <row r="6" customFormat="false" ht="60" hidden="false" customHeight="true" outlineLevel="0" collapsed="false">
      <c r="A6" s="12" t="s">
        <v>54</v>
      </c>
      <c r="B6" s="10"/>
      <c r="C6" s="10"/>
      <c r="D6" s="10"/>
      <c r="E6" s="10"/>
      <c r="F6" s="13"/>
      <c r="G6" s="10"/>
      <c r="H6" s="14"/>
      <c r="I6" s="14"/>
      <c r="J6" s="10"/>
      <c r="K6" s="15" t="str">
        <f aca="false">IF(OR(H6="",I6=""),"Inconclusiva",IF(OR(AND(G6="aumento",I6&gt;=ABS(H6)),AND(G6="redução",-I6&gt;=ABS(H6)),AND(G6="acima de",I6&gt;=H6),AND(G6="abaixo de",I6&lt;=H6)),IF(J6="baixa","Sustentada em parte","Sustentada"),IF(OR(AND(G6="aumento",I6&gt;=ABS(H6)/2),AND(G6="redução",-I6&gt;=ABS(H6)/2)),"Sustentada em parte","Não sustentada")))</f>
        <v>Inconclusiva</v>
      </c>
      <c r="L6" s="10"/>
      <c r="M6" s="10"/>
    </row>
    <row r="7" customFormat="false" ht="60" hidden="false" customHeight="true" outlineLevel="0" collapsed="false">
      <c r="A7" s="12" t="s">
        <v>55</v>
      </c>
      <c r="B7" s="10"/>
      <c r="C7" s="10"/>
      <c r="D7" s="10"/>
      <c r="E7" s="10"/>
      <c r="F7" s="13"/>
      <c r="G7" s="10"/>
      <c r="H7" s="14"/>
      <c r="I7" s="14"/>
      <c r="J7" s="10"/>
      <c r="K7" s="15" t="str">
        <f aca="false">IF(OR(H7="",I7=""),"Inconclusiva",IF(OR(AND(G7="aumento",I7&gt;=ABS(H7)),AND(G7="redução",-I7&gt;=ABS(H7)),AND(G7="acima de",I7&gt;=H7),AND(G7="abaixo de",I7&lt;=H7)),IF(J7="baixa","Sustentada em parte","Sustentada"),IF(OR(AND(G7="aumento",I7&gt;=ABS(H7)/2),AND(G7="redução",-I7&gt;=ABS(H7)/2)),"Sustentada em parte","Não sustentada")))</f>
        <v>Inconclusiva</v>
      </c>
      <c r="L7" s="10"/>
      <c r="M7" s="10"/>
    </row>
    <row r="9" customFormat="false" ht="15" hidden="false" customHeight="false" outlineLevel="0" collapsed="false">
      <c r="B9" s="12" t="s">
        <v>56</v>
      </c>
    </row>
    <row r="10" customFormat="false" ht="15" hidden="false" customHeight="false" outlineLevel="0" collapsed="false">
      <c r="B10" s="16" t="s">
        <v>57</v>
      </c>
    </row>
    <row r="11" customFormat="false" ht="15" hidden="false" customHeight="false" outlineLevel="0" collapsed="false">
      <c r="B11" s="16" t="s">
        <v>58</v>
      </c>
    </row>
    <row r="12" customFormat="false" ht="15" hidden="false" customHeight="false" outlineLevel="0" collapsed="false">
      <c r="B12" s="16" t="s">
        <v>59</v>
      </c>
    </row>
    <row r="13" customFormat="false" ht="15" hidden="false" customHeight="false" outlineLevel="0" collapsed="false">
      <c r="B13" s="16" t="s">
        <v>60</v>
      </c>
    </row>
  </sheetData>
  <dataValidations count="3">
    <dataValidation allowBlank="true" errorStyle="stop" operator="between" showDropDown="false" showErrorMessage="false" showInputMessage="false" sqref="G2:G7" type="list">
      <formula1>"aumento,redução,acima de,abaixo de"</formula1>
      <formula2>0</formula2>
    </dataValidation>
    <dataValidation allowBlank="true" errorStyle="stop" operator="between" showDropDown="false" showErrorMessage="false" showInputMessage="false" sqref="J2:J7" type="list">
      <formula1>"alta,média,baixa"</formula1>
      <formula2>0</formula2>
    </dataValidation>
    <dataValidation allowBlank="true" errorStyle="stop" operator="between" showDropDown="false" showErrorMessage="false" showInputMessage="false" sqref="L2:L7" type="list">
      <formula1>"Sustentada,Sustentada em parte,Não sustentada,Inconclusiva"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4" min="2" style="0" width="24"/>
    <col collapsed="false" customWidth="true" hidden="false" outlineLevel="0" max="5" min="5" style="0" width="16"/>
    <col collapsed="false" customWidth="true" hidden="false" outlineLevel="0" max="7" min="6" style="0" width="18"/>
  </cols>
  <sheetData>
    <row r="1" customFormat="false" ht="35.05" hidden="false" customHeight="false" outlineLevel="0" collapsed="false">
      <c r="A1" s="12" t="s">
        <v>61</v>
      </c>
      <c r="B1" s="10" t="s">
        <v>62</v>
      </c>
    </row>
    <row r="2" customFormat="false" ht="15" hidden="false" customHeight="false" outlineLevel="0" collapsed="false">
      <c r="A2" s="12" t="s">
        <v>63</v>
      </c>
      <c r="B2" s="17" t="n">
        <f aca="false">Hipóteses!H2</f>
        <v>0</v>
      </c>
    </row>
    <row r="4" customFormat="false" ht="30" hidden="false" customHeight="true" outlineLevel="0" collapsed="false">
      <c r="A4" s="11" t="s">
        <v>64</v>
      </c>
      <c r="B4" s="11" t="s">
        <v>65</v>
      </c>
      <c r="C4" s="11" t="s">
        <v>66</v>
      </c>
      <c r="D4" s="11" t="s">
        <v>67</v>
      </c>
      <c r="E4" s="11" t="s">
        <v>68</v>
      </c>
      <c r="F4" s="11" t="s">
        <v>69</v>
      </c>
      <c r="G4" s="11" t="s">
        <v>70</v>
      </c>
    </row>
    <row r="5" customFormat="false" ht="15" hidden="false" customHeight="false" outlineLevel="0" collapsed="false">
      <c r="A5" s="10" t="s">
        <v>71</v>
      </c>
      <c r="B5" s="13" t="n">
        <v>985</v>
      </c>
      <c r="C5" s="13" t="n">
        <v>985</v>
      </c>
      <c r="D5" s="13" t="n">
        <v>985</v>
      </c>
      <c r="E5" s="18" t="n">
        <f aca="false">$B$5*(1+$B$2)</f>
        <v>985</v>
      </c>
      <c r="F5" s="17" t="n">
        <f aca="false">IF($C$5=0,"",C5/$C$5-1)</f>
        <v>0</v>
      </c>
      <c r="G5" s="17" t="n">
        <f aca="false">IF($D$5=0,"",D5/$D$5-1)</f>
        <v>0</v>
      </c>
    </row>
    <row r="6" customFormat="false" ht="15" hidden="false" customHeight="false" outlineLevel="0" collapsed="false">
      <c r="A6" s="10" t="s">
        <v>72</v>
      </c>
      <c r="B6" s="13" t="n">
        <v>886</v>
      </c>
      <c r="C6" s="13" t="n">
        <v>1034</v>
      </c>
      <c r="D6" s="13" t="n">
        <v>936</v>
      </c>
      <c r="E6" s="18" t="n">
        <f aca="false">$B$5*(1+$B$2)</f>
        <v>985</v>
      </c>
      <c r="F6" s="17" t="n">
        <f aca="false">IF($C$5=0,"",C6/$C$5-1)</f>
        <v>0.0497461928934011</v>
      </c>
      <c r="G6" s="17" t="n">
        <f aca="false">IF($D$5=0,"",D6/$D$5-1)</f>
        <v>-0.049746192893401</v>
      </c>
    </row>
    <row r="7" customFormat="false" ht="15" hidden="false" customHeight="false" outlineLevel="0" collapsed="false">
      <c r="A7" s="10" t="s">
        <v>73</v>
      </c>
      <c r="B7" s="13" t="n">
        <v>798</v>
      </c>
      <c r="C7" s="13" t="n">
        <v>1086</v>
      </c>
      <c r="D7" s="13" t="n">
        <v>889</v>
      </c>
      <c r="E7" s="18" t="n">
        <f aca="false">$B$5*(1+$B$2)</f>
        <v>985</v>
      </c>
      <c r="F7" s="17" t="n">
        <f aca="false">IF($C$5=0,"",C7/$C$5-1)</f>
        <v>0.10253807106599</v>
      </c>
      <c r="G7" s="17" t="n">
        <f aca="false">IF($D$5=0,"",D7/$D$5-1)</f>
        <v>-0.0974619289340102</v>
      </c>
    </row>
    <row r="8" customFormat="false" ht="15" hidden="false" customHeight="false" outlineLevel="0" collapsed="false">
      <c r="A8" s="10" t="s">
        <v>74</v>
      </c>
      <c r="B8" s="13" t="n">
        <v>718</v>
      </c>
      <c r="C8" s="13" t="n">
        <v>1140</v>
      </c>
      <c r="D8" s="13" t="n">
        <v>844</v>
      </c>
      <c r="E8" s="18" t="n">
        <f aca="false">$B$5*(1+$B$2)</f>
        <v>985</v>
      </c>
      <c r="F8" s="17" t="n">
        <f aca="false">IF($C$5=0,"",C8/$C$5-1)</f>
        <v>0.15736040609137</v>
      </c>
      <c r="G8" s="17" t="n">
        <f aca="false">IF($D$5=0,"",D8/$D$5-1)</f>
        <v>-0.143147208121827</v>
      </c>
    </row>
    <row r="9" customFormat="false" ht="15" hidden="false" customHeight="false" outlineLevel="0" collapsed="false">
      <c r="A9" s="10" t="s">
        <v>75</v>
      </c>
      <c r="B9" s="13" t="n">
        <v>646</v>
      </c>
      <c r="C9" s="13" t="n">
        <v>1197</v>
      </c>
      <c r="D9" s="13" t="n">
        <v>802</v>
      </c>
      <c r="E9" s="18" t="n">
        <f aca="false">$B$5*(1+$B$2)</f>
        <v>985</v>
      </c>
      <c r="F9" s="17" t="n">
        <f aca="false">IF($C$5=0,"",C9/$C$5-1)</f>
        <v>0.215228426395939</v>
      </c>
      <c r="G9" s="17" t="n">
        <f aca="false">IF($D$5=0,"",D9/$D$5-1)</f>
        <v>-0.185786802030457</v>
      </c>
    </row>
    <row r="10" customFormat="false" ht="15" hidden="false" customHeight="false" outlineLevel="0" collapsed="false">
      <c r="A10" s="10" t="s">
        <v>76</v>
      </c>
      <c r="B10" s="13" t="n">
        <v>582</v>
      </c>
      <c r="C10" s="13" t="n">
        <v>1257</v>
      </c>
      <c r="D10" s="13" t="n">
        <v>762</v>
      </c>
      <c r="E10" s="18" t="n">
        <f aca="false">$B$5*(1+$B$2)</f>
        <v>985</v>
      </c>
      <c r="F10" s="17" t="n">
        <f aca="false">IF($C$5=0,"",C10/$C$5-1)</f>
        <v>0.276142131979696</v>
      </c>
      <c r="G10" s="17" t="n">
        <f aca="false">IF($D$5=0,"",D10/$D$5-1)</f>
        <v>-0.226395939086294</v>
      </c>
    </row>
    <row r="12" customFormat="false" ht="35.05" hidden="false" customHeight="true" outlineLevel="0" collapsed="false">
      <c r="A12" s="12" t="s">
        <v>77</v>
      </c>
      <c r="B12" s="10" t="s">
        <v>78</v>
      </c>
      <c r="C12" s="10"/>
      <c r="D12" s="10"/>
      <c r="E12" s="10"/>
      <c r="F12" s="10"/>
      <c r="G12" s="10"/>
    </row>
  </sheetData>
  <mergeCells count="1">
    <mergeCell ref="B12:G1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3" min="2" style="0" width="22"/>
    <col collapsed="false" customWidth="true" hidden="false" outlineLevel="0" max="4" min="4" style="0" width="60"/>
  </cols>
  <sheetData>
    <row r="1" customFormat="false" ht="30" hidden="false" customHeight="true" outlineLevel="0" collapsed="false">
      <c r="A1" s="11" t="s">
        <v>79</v>
      </c>
      <c r="B1" s="11" t="s">
        <v>80</v>
      </c>
      <c r="C1" s="11" t="s">
        <v>81</v>
      </c>
      <c r="D1" s="11" t="s">
        <v>82</v>
      </c>
    </row>
    <row r="2" customFormat="false" ht="15" hidden="false" customHeight="false" outlineLevel="0" collapsed="false">
      <c r="A2" s="10" t="s">
        <v>83</v>
      </c>
      <c r="B2" s="19" t="n">
        <v>-2</v>
      </c>
      <c r="C2" s="19" t="n">
        <v>-1</v>
      </c>
      <c r="D2" s="10"/>
    </row>
    <row r="3" customFormat="false" ht="15" hidden="false" customHeight="false" outlineLevel="0" collapsed="false">
      <c r="A3" s="10" t="s">
        <v>84</v>
      </c>
      <c r="B3" s="19" t="n">
        <v>-1</v>
      </c>
      <c r="C3" s="19" t="n">
        <v>0</v>
      </c>
      <c r="D3" s="10"/>
    </row>
    <row r="4" customFormat="false" ht="15" hidden="false" customHeight="false" outlineLevel="0" collapsed="false">
      <c r="A4" s="10" t="s">
        <v>85</v>
      </c>
      <c r="B4" s="19" t="n">
        <v>1</v>
      </c>
      <c r="C4" s="19" t="n">
        <v>1</v>
      </c>
      <c r="D4" s="10"/>
    </row>
    <row r="5" customFormat="false" ht="15" hidden="false" customHeight="false" outlineLevel="0" collapsed="false">
      <c r="A5" s="10" t="s">
        <v>86</v>
      </c>
      <c r="B5" s="19" t="n">
        <v>-1</v>
      </c>
      <c r="C5" s="19" t="n">
        <v>0</v>
      </c>
      <c r="D5" s="10"/>
    </row>
    <row r="7" customFormat="false" ht="15" hidden="false" customHeight="false" outlineLevel="0" collapsed="false">
      <c r="A7" s="12" t="s">
        <v>87</v>
      </c>
    </row>
    <row r="8" customFormat="false" ht="15" hidden="false" customHeight="false" outlineLevel="0" collapsed="false">
      <c r="A8" s="16" t="s">
        <v>88</v>
      </c>
    </row>
    <row r="9" customFormat="false" ht="15" hidden="false" customHeight="false" outlineLevel="0" collapsed="false">
      <c r="A9" s="16" t="s">
        <v>89</v>
      </c>
    </row>
  </sheetData>
  <dataValidations count="1">
    <dataValidation allowBlank="false" error="Use um inteiro de −2 a +2." errorStyle="stop" operator="between" showDropDown="false" showErrorMessage="true" showInputMessage="false" sqref="B2:C5" type="whole">
      <formula1>-2</formula1>
      <formula2>2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2026-10-30T17:54:49Z</dcterms:created>
  <dc:creator>openpyxl</dc:creator>
  <dc:description/>
  <dc:language>en-US</dc:language>
  <cp:lastModifiedBy/>
  <dcterms:modified xsi:type="dcterms:W3CDTF">2026-10-30T17:54:51Z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